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tudiante\Desktop\"/>
    </mc:Choice>
  </mc:AlternateContent>
  <xr:revisionPtr revIDLastSave="0" documentId="8_{FB43033A-A536-4F6B-BEAD-B95684B7C5CA}" xr6:coauthVersionLast="36" xr6:coauthVersionMax="36" xr10:uidLastSave="{00000000-0000-0000-0000-000000000000}"/>
  <bookViews>
    <workbookView xWindow="0" yWindow="0" windowWidth="15165" windowHeight="10875" xr2:uid="{00000000-000D-0000-FFFF-FFFF00000000}"/>
  </bookViews>
  <sheets>
    <sheet name="Matriz y gráfico" sheetId="1" r:id="rId1"/>
    <sheet name="Parámetros" sheetId="2" r:id="rId2"/>
  </sheets>
  <definedNames>
    <definedName name="Dependencia">'Matriz y gráfico'!$C$20:$L$20</definedName>
    <definedName name="Influencia">'Matriz y gráfico'!$M$10:$M$19</definedName>
  </definedNames>
  <calcPr calcId="191029"/>
</workbook>
</file>

<file path=xl/calcChain.xml><?xml version="1.0" encoding="utf-8"?>
<calcChain xmlns="http://schemas.openxmlformats.org/spreadsheetml/2006/main">
  <c r="M10" i="1" l="1"/>
  <c r="M19" i="1" l="1"/>
  <c r="D20" i="1" l="1"/>
  <c r="E20" i="1"/>
  <c r="F20" i="1"/>
  <c r="G20" i="1"/>
  <c r="H20" i="1"/>
  <c r="I20" i="1"/>
  <c r="J20" i="1"/>
  <c r="K20" i="1"/>
  <c r="L20" i="1"/>
  <c r="C20" i="1"/>
  <c r="M15" i="1"/>
  <c r="M16" i="1"/>
  <c r="M17" i="1"/>
  <c r="M18" i="1"/>
  <c r="M13" i="1"/>
  <c r="M12" i="1"/>
  <c r="M11" i="1"/>
  <c r="M14" i="1"/>
  <c r="C3" i="2" l="1"/>
  <c r="D5" i="2"/>
  <c r="C5" i="2"/>
  <c r="C4" i="2"/>
  <c r="D2" i="2"/>
  <c r="D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Betancourt Quintero</author>
  </authors>
  <commentList>
    <comment ref="M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Activos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Pasivos</t>
        </r>
      </text>
    </comment>
  </commentList>
</comments>
</file>

<file path=xl/sharedStrings.xml><?xml version="1.0" encoding="utf-8"?>
<sst xmlns="http://schemas.openxmlformats.org/spreadsheetml/2006/main" count="43" uniqueCount="43">
  <si>
    <t>Situación problemática</t>
  </si>
  <si>
    <t>Código</t>
  </si>
  <si>
    <t>Variable</t>
  </si>
  <si>
    <t>P1</t>
  </si>
  <si>
    <t>P2</t>
  </si>
  <si>
    <t>P3</t>
  </si>
  <si>
    <t>P4</t>
  </si>
  <si>
    <t>P5</t>
  </si>
  <si>
    <t>P6</t>
  </si>
  <si>
    <t>P7</t>
  </si>
  <si>
    <t>Clasificación</t>
  </si>
  <si>
    <t>X</t>
  </si>
  <si>
    <t>Y</t>
  </si>
  <si>
    <t>Linea horizontal</t>
  </si>
  <si>
    <t>Linea vertical</t>
  </si>
  <si>
    <t>P8</t>
  </si>
  <si>
    <t>P9</t>
  </si>
  <si>
    <t>P10</t>
  </si>
  <si>
    <t>Instrucciones</t>
  </si>
  <si>
    <t xml:space="preserve">Las celdas de color blanco son las que se pueden diligenciar. Las de color gris son de cálculo automático. </t>
  </si>
  <si>
    <t>INFLUENCIA / ACTIVAS</t>
  </si>
  <si>
    <t>DEPENDENCIA / PASIVAS</t>
  </si>
  <si>
    <t xml:space="preserve">En el colegio, específicamente en la zona de la huerta  y los pasillos de evacuación, se dieron cuenta que cuando se va la luz no se alcanza a ver nada, lo que hace que pasar por ahí sea peligroso para docente y estudiantes debido a esto se encontró una necesidad, hace falta una fuente de luz autónoma que funcione con energía renovable para cuando sucedan fallas técnicas 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</si>
  <si>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</si>
  <si>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</si>
  <si>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</si>
  <si>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</si>
  <si>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</si>
  <si>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</si>
  <si>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</si>
  <si>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</si>
  <si>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</si>
  <si>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</si>
  <si>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En los pasillos de evacuación no hay suficiente iluminación</t>
  </si>
  <si>
    <t>La huerta queda completamente a oscuras durante los apagones.</t>
  </si>
  <si>
    <t>No existe un sistema alternativo que provea luz.</t>
  </si>
  <si>
    <t>Se desconoce qué tipo de energía renovable sería viable para este espacio.</t>
  </si>
  <si>
    <t>La señalización de salida no es visible si no hay corriente.</t>
  </si>
  <si>
    <t>El colegio no monitorea cuánta energía consume ni en qué momentos se presentan los apagones.</t>
  </si>
  <si>
    <t>Uso ineficiente de la energía eléctrica disponible.</t>
  </si>
  <si>
    <t>Falta de mantenimiento preventivo del sistema eléctrico.</t>
  </si>
  <si>
    <t>Dependencia total de la red eléctrica del colegio.</t>
  </si>
  <si>
    <t>Riesgo de accidentes por falta de visibilidad durante cortes eléctricos.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</si>
</sst>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theme="1"/>
      <name val="Gisha"/>
      <family val="2"/>
    </font>
    <font>
      <b/>
      <sz val="11"/>
      <color theme="1"/>
      <name val="Century Gothic"/>
      <family val="2"/>
    </font>
    <font>
      <sz val="10"/>
      <color theme="1"/>
      <name val="Arial"/>
      <family val="2"/>
    </font>
    <font>
      <b/>
      <sz val="10"/>
      <color theme="0"/>
      <name val="Gisha"/>
      <family val="2"/>
    </font>
    <font>
      <b/>
      <sz val="16"/>
      <color theme="0"/>
      <name val="Arial"/>
      <family val="2"/>
    </font>
    <font>
      <b/>
      <sz val="12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Border="1"/>
    <xf numFmtId="0" fontId="1" fillId="2" borderId="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10" fillId="0" borderId="0" xfId="1"/>
    <xf numFmtId="0" fontId="9" fillId="0" borderId="0" xfId="0" applyFont="1"/>
    <xf numFmtId="0" fontId="0" fillId="0" borderId="1" xfId="0" applyBorder="1"/>
    <xf numFmtId="0" fontId="0" fillId="0" borderId="1" xfId="0" applyFont="1" applyBorder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0" fillId="0" borderId="0" xfId="1" applyAlignment="1">
      <alignment horizontal="left"/>
    </xf>
    <xf numFmtId="0" fontId="0" fillId="0" borderId="0" xfId="0" applyAlignment="1">
      <alignment horizontal="left" wrapText="1"/>
    </xf>
    <xf numFmtId="0" fontId="5" fillId="3" borderId="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3" borderId="7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270667785464027E-2"/>
          <c:y val="6.4510475967942862E-2"/>
          <c:w val="0.83377349854494953"/>
          <c:h val="0.851079428735184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'Matriz y gráfico'!$A$10</c:f>
              <c:strCache>
                <c:ptCount val="1"/>
                <c:pt idx="0">
                  <c:v>p1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gráfico'!$M$10</c:f>
              <c:numCache>
                <c:formatCode>General</c:formatCode>
                <c:ptCount val="1"/>
                <c:pt idx="0">
                  <c:v>15</c:v>
                </c:pt>
              </c:numCache>
            </c:numRef>
          </c:xVal>
          <c:yVal>
            <c:numRef>
              <c:f>'Matriz y gráfico'!$C$20</c:f>
              <c:numCache>
                <c:formatCode>General</c:formatCode>
                <c:ptCount val="1"/>
                <c:pt idx="0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E9-4A49-8146-654BBD047A7F}"/>
            </c:ext>
          </c:extLst>
        </c:ser>
        <c:ser>
          <c:idx val="1"/>
          <c:order val="1"/>
          <c:tx>
            <c:strRef>
              <c:f>'Matriz y gráfico'!$A$11</c:f>
              <c:strCache>
                <c:ptCount val="1"/>
                <c:pt idx="0">
                  <c:v>p2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0"/>
                  <c:y val="0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59E-4BE1-937A-21263C929A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gráfico'!$M$11</c:f>
              <c:numCache>
                <c:formatCode>General</c:formatCode>
                <c:ptCount val="1"/>
                <c:pt idx="0">
                  <c:v>16</c:v>
                </c:pt>
              </c:numCache>
            </c:numRef>
          </c:xVal>
          <c:yVal>
            <c:numRef>
              <c:f>'Matriz y gráfico'!$D$20</c:f>
              <c:numCache>
                <c:formatCode>General</c:formatCode>
                <c:ptCount val="1"/>
                <c:pt idx="0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E9-4A49-8146-654BBD047A7F}"/>
            </c:ext>
          </c:extLst>
        </c:ser>
        <c:ser>
          <c:idx val="2"/>
          <c:order val="2"/>
          <c:tx>
            <c:strRef>
              <c:f>'Matriz y gráfico'!$A$12</c:f>
              <c:strCache>
                <c:ptCount val="1"/>
                <c:pt idx="0">
                  <c:v>p3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gráfico'!$M$12</c:f>
              <c:numCache>
                <c:formatCode>General</c:formatCode>
                <c:ptCount val="1"/>
                <c:pt idx="0">
                  <c:v>19</c:v>
                </c:pt>
              </c:numCache>
            </c:numRef>
          </c:xVal>
          <c:yVal>
            <c:numRef>
              <c:f>'Matriz y gráfico'!$E$20</c:f>
              <c:numCache>
                <c:formatCode>General</c:formatCode>
                <c:ptCount val="1"/>
                <c:pt idx="0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E9-4A49-8146-654BBD047A7F}"/>
            </c:ext>
          </c:extLst>
        </c:ser>
        <c:ser>
          <c:idx val="3"/>
          <c:order val="3"/>
          <c:tx>
            <c:strRef>
              <c:f>'Matriz y gráfico'!$A$13</c:f>
              <c:strCache>
                <c:ptCount val="1"/>
                <c:pt idx="0">
                  <c:v>p4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gráfico'!$M$13</c:f>
              <c:numCache>
                <c:formatCode>General</c:formatCode>
                <c:ptCount val="1"/>
                <c:pt idx="0">
                  <c:v>14</c:v>
                </c:pt>
              </c:numCache>
            </c:numRef>
          </c:xVal>
          <c:yVal>
            <c:numRef>
              <c:f>'Matriz y gráfico'!$F$20</c:f>
              <c:numCache>
                <c:formatCode>General</c:formatCode>
                <c:ptCount val="1"/>
                <c:pt idx="0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E9-4A49-8146-654BBD047A7F}"/>
            </c:ext>
          </c:extLst>
        </c:ser>
        <c:ser>
          <c:idx val="4"/>
          <c:order val="4"/>
          <c:tx>
            <c:strRef>
              <c:f>'Matriz y gráfico'!$A$14</c:f>
              <c:strCache>
                <c:ptCount val="1"/>
                <c:pt idx="0">
                  <c:v>p5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0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59E-4BE1-937A-21263C929A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gráfico'!$M$14</c:f>
              <c:numCache>
                <c:formatCode>General</c:formatCode>
                <c:ptCount val="1"/>
                <c:pt idx="0">
                  <c:v>17</c:v>
                </c:pt>
              </c:numCache>
            </c:numRef>
          </c:xVal>
          <c:yVal>
            <c:numRef>
              <c:f>'Matriz y gráfico'!$G$20</c:f>
              <c:numCache>
                <c:formatCode>General</c:formatCode>
                <c:ptCount val="1"/>
                <c:pt idx="0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2E9-4A49-8146-654BBD047A7F}"/>
            </c:ext>
          </c:extLst>
        </c:ser>
        <c:ser>
          <c:idx val="5"/>
          <c:order val="5"/>
          <c:tx>
            <c:strRef>
              <c:f>'Matriz y gráfico'!$A$15</c:f>
              <c:strCache>
                <c:ptCount val="1"/>
                <c:pt idx="0">
                  <c:v>p6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gráfico'!$M$15</c:f>
              <c:numCache>
                <c:formatCode>General</c:formatCode>
                <c:ptCount val="1"/>
                <c:pt idx="0">
                  <c:v>12</c:v>
                </c:pt>
              </c:numCache>
            </c:numRef>
          </c:xVal>
          <c:yVal>
            <c:numRef>
              <c:f>'Matriz y gráfico'!$H$20</c:f>
              <c:numCache>
                <c:formatCode>General</c:formatCode>
                <c:ptCount val="1"/>
                <c:pt idx="0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2E9-4A49-8146-654BBD047A7F}"/>
            </c:ext>
          </c:extLst>
        </c:ser>
        <c:ser>
          <c:idx val="6"/>
          <c:order val="6"/>
          <c:tx>
            <c:strRef>
              <c:f>'Matriz y gráfico'!$A$16</c:f>
              <c:strCache>
                <c:ptCount val="1"/>
                <c:pt idx="0">
                  <c:v>p7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gráfico'!$M$16</c:f>
              <c:numCache>
                <c:formatCode>General</c:formatCode>
                <c:ptCount val="1"/>
                <c:pt idx="0">
                  <c:v>21</c:v>
                </c:pt>
              </c:numCache>
            </c:numRef>
          </c:xVal>
          <c:yVal>
            <c:numRef>
              <c:f>'Matriz y gráfico'!$I$20</c:f>
              <c:numCache>
                <c:formatCode>General</c:formatCode>
                <c:ptCount val="1"/>
                <c:pt idx="0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2E9-4A49-8146-654BBD047A7F}"/>
            </c:ext>
          </c:extLst>
        </c:ser>
        <c:ser>
          <c:idx val="9"/>
          <c:order val="7"/>
          <c:tx>
            <c:strRef>
              <c:f>'Matriz y gráfico'!$A$17</c:f>
              <c:strCache>
                <c:ptCount val="1"/>
                <c:pt idx="0">
                  <c:v>p8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gráfico'!$M$17</c:f>
              <c:numCache>
                <c:formatCode>General</c:formatCode>
                <c:ptCount val="1"/>
                <c:pt idx="0">
                  <c:v>20</c:v>
                </c:pt>
              </c:numCache>
            </c:numRef>
          </c:xVal>
          <c:yVal>
            <c:numRef>
              <c:f>'Matriz y gráfico'!$J$20</c:f>
              <c:numCache>
                <c:formatCode>General</c:formatCode>
                <c:ptCount val="1"/>
                <c:pt idx="0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9E-4BE1-937A-21263C929AE9}"/>
            </c:ext>
          </c:extLst>
        </c:ser>
        <c:ser>
          <c:idx val="10"/>
          <c:order val="8"/>
          <c:tx>
            <c:strRef>
              <c:f>'Matriz y gráfico'!$A$18</c:f>
              <c:strCache>
                <c:ptCount val="1"/>
                <c:pt idx="0">
                  <c:v>p9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gráfico'!$M$18</c:f>
              <c:numCache>
                <c:formatCode>General</c:formatCode>
                <c:ptCount val="1"/>
                <c:pt idx="0">
                  <c:v>6</c:v>
                </c:pt>
              </c:numCache>
            </c:numRef>
          </c:xVal>
          <c:yVal>
            <c:numRef>
              <c:f>'Matriz y gráfico'!$K$20</c:f>
              <c:numCache>
                <c:formatCode>General</c:formatCode>
                <c:ptCount val="1"/>
                <c:pt idx="0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9E-4BE1-937A-21263C929AE9}"/>
            </c:ext>
          </c:extLst>
        </c:ser>
        <c:ser>
          <c:idx val="11"/>
          <c:order val="9"/>
          <c:tx>
            <c:strRef>
              <c:f>'Matriz y gráfico'!$A$19</c:f>
              <c:strCache>
                <c:ptCount val="1"/>
                <c:pt idx="0">
                  <c:v>p10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gráfico'!$M$19</c:f>
              <c:numCache>
                <c:formatCode>General</c:formatCode>
                <c:ptCount val="1"/>
                <c:pt idx="0">
                  <c:v>14</c:v>
                </c:pt>
              </c:numCache>
            </c:numRef>
          </c:xVal>
          <c:yVal>
            <c:numRef>
              <c:f>'Matriz y gráfico'!$L$20</c:f>
              <c:numCache>
                <c:formatCode>General</c:formatCode>
                <c:ptCount val="1"/>
                <c:pt idx="0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9E-4BE1-937A-21263C929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9419840"/>
        <c:axId val="1729425824"/>
      </c:scatterChart>
      <c:scatterChart>
        <c:scatterStyle val="smoothMarker"/>
        <c:varyColors val="0"/>
        <c:ser>
          <c:idx val="7"/>
          <c:order val="10"/>
          <c:tx>
            <c:strRef>
              <c:f>Parámetros!$A$2</c:f>
              <c:strCache>
                <c:ptCount val="1"/>
                <c:pt idx="0">
                  <c:v>Linea horizontal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Parámetros!$C$2:$C$3</c:f>
              <c:numCache>
                <c:formatCode>General</c:formatCode>
                <c:ptCount val="2"/>
                <c:pt idx="0">
                  <c:v>0</c:v>
                </c:pt>
                <c:pt idx="1">
                  <c:v>21</c:v>
                </c:pt>
              </c:numCache>
            </c:numRef>
          </c:xVal>
          <c:yVal>
            <c:numRef>
              <c:f>Parámetros!$D$2:$D$3</c:f>
              <c:numCache>
                <c:formatCode>General</c:formatCode>
                <c:ptCount val="2"/>
                <c:pt idx="0">
                  <c:v>11</c:v>
                </c:pt>
                <c:pt idx="1">
                  <c:v>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2E9-4A49-8146-654BBD047A7F}"/>
            </c:ext>
          </c:extLst>
        </c:ser>
        <c:ser>
          <c:idx val="8"/>
          <c:order val="11"/>
          <c:tx>
            <c:strRef>
              <c:f>Parámetros!$A$4</c:f>
              <c:strCache>
                <c:ptCount val="1"/>
                <c:pt idx="0">
                  <c:v>Linea vertical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Parámetros!$C$4:$C$5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Parámetros!$D$4:$D$5</c:f>
              <c:numCache>
                <c:formatCode>General</c:formatCode>
                <c:ptCount val="2"/>
                <c:pt idx="0">
                  <c:v>0</c:v>
                </c:pt>
                <c:pt idx="1">
                  <c:v>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2E9-4A49-8146-654BBD047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9419840"/>
        <c:axId val="1729425824"/>
      </c:scatterChart>
      <c:valAx>
        <c:axId val="1729419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Influencia/Causalidad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29425824"/>
        <c:crosses val="autoZero"/>
        <c:crossBetween val="midCat"/>
        <c:majorUnit val="1"/>
        <c:minorUnit val="1"/>
      </c:valAx>
      <c:valAx>
        <c:axId val="172942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Dependencia/Consecuencia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29419840"/>
        <c:crosses val="autoZero"/>
        <c:crossBetween val="midCat"/>
        <c:majorUnit val="1"/>
        <c:minorUnit val="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99371</xdr:rowOff>
    </xdr:from>
    <xdr:to>
      <xdr:col>17</xdr:col>
      <xdr:colOff>822614</xdr:colOff>
      <xdr:row>45</xdr:row>
      <xdr:rowOff>52160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0.68546</cdr:x>
      <cdr:y>0.7307</cdr:y>
    </cdr:from>
    <cdr:to>
      <cdr:x>0.7848</cdr:x>
      <cdr:y>0.80412</cdr:y>
    </cdr:to>
    <cdr:sp macro="" textlink="">
      <cdr:nvSpPr>
        <cdr:cNvPr id="2" name="TextBox 7">
          <a:extLst xmlns:a="http://schemas.openxmlformats.org/drawingml/2006/main">
            <a:ext uri="{FF2B5EF4-FFF2-40B4-BE49-F238E27FC236}">
              <a16:creationId xmlns:a16="http://schemas.microsoft.com/office/drawing/2014/main" id="{5AA1494B-D101-41EC-9C40-ABDECEA8884C}"/>
            </a:ext>
          </a:extLst>
        </cdr:cNvPr>
        <cdr:cNvSpPr txBox="1"/>
      </cdr:nvSpPr>
      <cdr:spPr>
        <a:xfrm xmlns:a="http://schemas.openxmlformats.org/drawingml/2006/main">
          <a:off x="4664092" y="2068362"/>
          <a:ext cx="675941" cy="20782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CO" sz="1100" b="1"/>
            <a:t>ACTIVOS</a:t>
          </a:r>
        </a:p>
      </cdr:txBody>
    </cdr:sp>
  </cdr:relSizeAnchor>
  <cdr:relSizeAnchor xmlns:cdr="http://schemas.openxmlformats.org/drawingml/2006/chartDrawing">
    <cdr:from>
      <cdr:x>0.08773</cdr:x>
      <cdr:y>0.73743</cdr:y>
    </cdr:from>
    <cdr:to>
      <cdr:x>0.21698</cdr:x>
      <cdr:y>0.81126</cdr:y>
    </cdr:to>
    <cdr:sp macro="" textlink="">
      <cdr:nvSpPr>
        <cdr:cNvPr id="3" name="TextBox 7">
          <a:extLst xmlns:a="http://schemas.openxmlformats.org/drawingml/2006/main">
            <a:ext uri="{FF2B5EF4-FFF2-40B4-BE49-F238E27FC236}">
              <a16:creationId xmlns:a16="http://schemas.microsoft.com/office/drawing/2014/main" id="{5AA1494B-D101-41EC-9C40-ABDECEA8884C}"/>
            </a:ext>
          </a:extLst>
        </cdr:cNvPr>
        <cdr:cNvSpPr txBox="1"/>
      </cdr:nvSpPr>
      <cdr:spPr>
        <a:xfrm xmlns:a="http://schemas.openxmlformats.org/drawingml/2006/main">
          <a:off x="596917" y="2087412"/>
          <a:ext cx="879458" cy="20898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CO" sz="1100" b="1"/>
            <a:t>INDIFERENTES</a:t>
          </a:r>
        </a:p>
      </cdr:txBody>
    </cdr:sp>
  </cdr:relSizeAnchor>
  <cdr:relSizeAnchor xmlns:cdr="http://schemas.openxmlformats.org/drawingml/2006/chartDrawing">
    <cdr:from>
      <cdr:x>0.08026</cdr:x>
      <cdr:y>0</cdr:y>
    </cdr:from>
    <cdr:to>
      <cdr:x>0.1796</cdr:x>
      <cdr:y>0.0834</cdr:y>
    </cdr:to>
    <cdr:sp macro="" textlink="">
      <cdr:nvSpPr>
        <cdr:cNvPr id="4" name="TextBox 7">
          <a:extLst xmlns:a="http://schemas.openxmlformats.org/drawingml/2006/main">
            <a:ext uri="{FF2B5EF4-FFF2-40B4-BE49-F238E27FC236}">
              <a16:creationId xmlns:a16="http://schemas.microsoft.com/office/drawing/2014/main" id="{5AA1494B-D101-41EC-9C40-ABDECEA8884C}"/>
            </a:ext>
          </a:extLst>
        </cdr:cNvPr>
        <cdr:cNvSpPr txBox="1"/>
      </cdr:nvSpPr>
      <cdr:spPr>
        <a:xfrm xmlns:a="http://schemas.openxmlformats.org/drawingml/2006/main">
          <a:off x="1042611" y="0"/>
          <a:ext cx="1290469" cy="37839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CO" sz="1100" b="1"/>
            <a:t>PASIVOS</a:t>
          </a:r>
        </a:p>
      </cdr:txBody>
    </cdr:sp>
  </cdr:relSizeAnchor>
  <cdr:relSizeAnchor xmlns:cdr="http://schemas.openxmlformats.org/drawingml/2006/chartDrawing">
    <cdr:from>
      <cdr:x>0.68219</cdr:x>
      <cdr:y>2.20416E-7</cdr:y>
    </cdr:from>
    <cdr:to>
      <cdr:x>0.78153</cdr:x>
      <cdr:y>0.07141</cdr:y>
    </cdr:to>
    <cdr:sp macro="" textlink="">
      <cdr:nvSpPr>
        <cdr:cNvPr id="5" name="TextBox 7">
          <a:extLst xmlns:a="http://schemas.openxmlformats.org/drawingml/2006/main">
            <a:ext uri="{FF2B5EF4-FFF2-40B4-BE49-F238E27FC236}">
              <a16:creationId xmlns:a16="http://schemas.microsoft.com/office/drawing/2014/main" id="{5AA1494B-D101-41EC-9C40-ABDECEA8884C}"/>
            </a:ext>
          </a:extLst>
        </cdr:cNvPr>
        <cdr:cNvSpPr txBox="1"/>
      </cdr:nvSpPr>
      <cdr:spPr>
        <a:xfrm xmlns:a="http://schemas.openxmlformats.org/drawingml/2006/main">
          <a:off x="8861937" y="1"/>
          <a:ext cx="1290469" cy="32396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CO" sz="1100" b="1"/>
            <a:t>CRÍTICOS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19051</xdr:colOff>
      <xdr:row>0</xdr:row>
      <xdr:rowOff>0</xdr:rowOff>
    </xdr:from>
    <xdr:to>
      <xdr:col>6</xdr:col>
      <xdr:colOff>561975</xdr:colOff>
      <xdr:row>5</xdr:row>
      <xdr:rowOff>19050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457451" y="0"/>
          <a:ext cx="1762124" cy="9715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Cálculo automático, no lo modifiques</a:t>
          </a:r>
          <a:endParaRPr lang="en-US" sz="14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"/>
  <sheetViews>
    <sheetView showGridLines="0" tabSelected="1" topLeftCell="A7" zoomScaleNormal="100" workbookViewId="0">
      <selection activeCell="D17" sqref="D17"/>
    </sheetView>
  </sheetViews>
  <sheetFormatPr baseColWidth="10" defaultColWidth="9.140625" defaultRowHeight="15" x14ac:dyDescent="0.25"/>
  <cols>
    <col min="2" max="2" width="65.140625" customWidth="1"/>
    <col min="3" max="12" width="5.28515625" customWidth="1"/>
    <col min="13" max="13" width="25.85546875" customWidth="1"/>
    <col min="14" max="17" width="5.28515625" customWidth="1"/>
    <col min="18" max="18" width="24.42578125" customWidth="1"/>
    <col min="19" max="21" width="10.7109375" customWidth="1"/>
  </cols>
  <sheetData>
    <row r="1" spans="1:18" s="16" customFormat="1" ht="144.75" customHeight="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20.25" x14ac:dyDescent="0.25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9"/>
    </row>
    <row r="3" spans="1:18" ht="20.25" x14ac:dyDescent="0.2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2"/>
    </row>
    <row r="4" spans="1:18" ht="20.25" x14ac:dyDescent="0.25">
      <c r="A4" s="2"/>
      <c r="B4" s="2"/>
      <c r="C4" s="2"/>
      <c r="D4" s="2"/>
      <c r="E4" s="2"/>
      <c r="F4" s="2"/>
      <c r="G4" s="2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ht="20.25" x14ac:dyDescent="0.25">
      <c r="A5" s="25" t="s">
        <v>0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20.25" customHeight="1" x14ac:dyDescent="0.25">
      <c r="A6" s="26" t="s">
        <v>22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8"/>
    </row>
    <row r="7" spans="1:18" ht="20.25" customHeight="1" x14ac:dyDescent="0.25">
      <c r="A7" s="29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1"/>
    </row>
    <row r="8" spans="1:18" s="1" customFormat="1" ht="15" customHeight="1" x14ac:dyDescent="0.25">
      <c r="A8" s="2"/>
      <c r="B8" s="2"/>
      <c r="C8" s="2"/>
      <c r="D8" s="2"/>
      <c r="E8" s="2"/>
      <c r="F8" s="2"/>
      <c r="G8" s="4"/>
    </row>
    <row r="9" spans="1:18" s="6" customFormat="1" ht="20.25" customHeight="1" x14ac:dyDescent="0.25">
      <c r="A9" s="7" t="s">
        <v>1</v>
      </c>
      <c r="B9" s="7" t="s">
        <v>2</v>
      </c>
      <c r="C9" s="7" t="s">
        <v>3</v>
      </c>
      <c r="D9" s="7" t="s">
        <v>4</v>
      </c>
      <c r="E9" s="7" t="s">
        <v>5</v>
      </c>
      <c r="F9" s="7" t="s">
        <v>6</v>
      </c>
      <c r="G9" s="7" t="s">
        <v>7</v>
      </c>
      <c r="H9" s="7" t="s">
        <v>8</v>
      </c>
      <c r="I9" s="7" t="s">
        <v>9</v>
      </c>
      <c r="J9" s="7" t="s">
        <v>15</v>
      </c>
      <c r="K9" s="7" t="s">
        <v>16</v>
      </c>
      <c r="L9" s="7" t="s">
        <v>17</v>
      </c>
      <c r="M9" s="7" t="s">
        <v>20</v>
      </c>
    </row>
    <row r="10" spans="1:18" ht="27.75" customHeight="1" x14ac:dyDescent="0.25">
      <c r="A10" s="3" t="s">
        <v>23</v>
      </c>
      <c r="B10" s="13" t="s">
        <v>33</v>
      </c>
      <c r="C10" s="9">
        <v>0</v>
      </c>
      <c r="D10" s="3">
        <v>0</v>
      </c>
      <c r="E10" s="3">
        <v>3</v>
      </c>
      <c r="F10" s="3">
        <v>1</v>
      </c>
      <c r="G10" s="3">
        <v>3</v>
      </c>
      <c r="H10" s="3">
        <v>1</v>
      </c>
      <c r="I10" s="3">
        <v>2</v>
      </c>
      <c r="J10" s="3">
        <v>2</v>
      </c>
      <c r="K10" s="3">
        <v>0</v>
      </c>
      <c r="L10" s="3">
        <v>3</v>
      </c>
      <c r="M10" s="9">
        <f t="shared" ref="M10:M19" si="0">SUM(C10:L10)</f>
        <v>15</v>
      </c>
    </row>
    <row r="11" spans="1:18" ht="27.75" customHeight="1" x14ac:dyDescent="0.25">
      <c r="A11" s="3" t="s">
        <v>24</v>
      </c>
      <c r="B11" s="13" t="s">
        <v>34</v>
      </c>
      <c r="C11" s="3">
        <v>0</v>
      </c>
      <c r="D11" s="9">
        <v>0</v>
      </c>
      <c r="E11" s="3">
        <v>3</v>
      </c>
      <c r="F11" s="3">
        <v>3</v>
      </c>
      <c r="G11" s="3">
        <v>0</v>
      </c>
      <c r="H11" s="3">
        <v>2</v>
      </c>
      <c r="I11" s="3">
        <v>2</v>
      </c>
      <c r="J11" s="3">
        <v>3</v>
      </c>
      <c r="K11" s="3">
        <v>2</v>
      </c>
      <c r="L11" s="3">
        <v>1</v>
      </c>
      <c r="M11" s="9">
        <f t="shared" si="0"/>
        <v>16</v>
      </c>
    </row>
    <row r="12" spans="1:18" ht="27.75" customHeight="1" x14ac:dyDescent="0.25">
      <c r="A12" s="3" t="s">
        <v>25</v>
      </c>
      <c r="B12" s="13" t="s">
        <v>35</v>
      </c>
      <c r="C12" s="3">
        <v>3</v>
      </c>
      <c r="D12" s="3">
        <v>2</v>
      </c>
      <c r="E12" s="9">
        <v>0</v>
      </c>
      <c r="F12" s="3">
        <v>3</v>
      </c>
      <c r="G12" s="3">
        <v>2</v>
      </c>
      <c r="H12" s="3">
        <v>3</v>
      </c>
      <c r="I12" s="3">
        <v>2</v>
      </c>
      <c r="J12" s="3">
        <v>0</v>
      </c>
      <c r="K12" s="3">
        <v>3</v>
      </c>
      <c r="L12" s="3">
        <v>1</v>
      </c>
      <c r="M12" s="9">
        <f t="shared" si="0"/>
        <v>19</v>
      </c>
    </row>
    <row r="13" spans="1:18" ht="27.75" customHeight="1" x14ac:dyDescent="0.25">
      <c r="A13" s="3" t="s">
        <v>26</v>
      </c>
      <c r="B13" t="s">
        <v>36</v>
      </c>
      <c r="C13" s="3">
        <v>2</v>
      </c>
      <c r="D13" s="3">
        <v>3</v>
      </c>
      <c r="E13" s="3">
        <v>3</v>
      </c>
      <c r="F13" s="9">
        <v>0</v>
      </c>
      <c r="G13" s="3">
        <v>3</v>
      </c>
      <c r="H13" s="3">
        <v>2</v>
      </c>
      <c r="I13" s="3">
        <v>1</v>
      </c>
      <c r="J13" s="3">
        <v>0</v>
      </c>
      <c r="K13" s="3">
        <v>0</v>
      </c>
      <c r="L13" s="3">
        <v>0</v>
      </c>
      <c r="M13" s="9">
        <f t="shared" si="0"/>
        <v>14</v>
      </c>
    </row>
    <row r="14" spans="1:18" ht="27.75" customHeight="1" x14ac:dyDescent="0.25">
      <c r="A14" s="3" t="s">
        <v>27</v>
      </c>
      <c r="B14" s="13" t="s">
        <v>37</v>
      </c>
      <c r="C14" s="3">
        <v>3</v>
      </c>
      <c r="D14" s="3">
        <v>0</v>
      </c>
      <c r="E14" s="3">
        <v>3</v>
      </c>
      <c r="F14" s="3">
        <v>3</v>
      </c>
      <c r="G14" s="9">
        <v>0</v>
      </c>
      <c r="H14" s="3">
        <v>1</v>
      </c>
      <c r="I14" s="3">
        <v>3</v>
      </c>
      <c r="J14" s="3">
        <v>1</v>
      </c>
      <c r="K14" s="3">
        <v>0</v>
      </c>
      <c r="L14" s="3">
        <v>3</v>
      </c>
      <c r="M14" s="9">
        <f t="shared" si="0"/>
        <v>17</v>
      </c>
    </row>
    <row r="15" spans="1:18" ht="27.75" customHeight="1" x14ac:dyDescent="0.25">
      <c r="A15" s="3" t="s">
        <v>28</v>
      </c>
      <c r="B15" t="s">
        <v>38</v>
      </c>
      <c r="C15" s="3">
        <v>2</v>
      </c>
      <c r="D15" s="3">
        <v>1</v>
      </c>
      <c r="E15" s="3">
        <v>1</v>
      </c>
      <c r="F15" s="3">
        <v>1</v>
      </c>
      <c r="G15" s="3">
        <v>2</v>
      </c>
      <c r="H15" s="9">
        <v>0</v>
      </c>
      <c r="I15" s="3">
        <v>2</v>
      </c>
      <c r="J15" s="3">
        <v>3</v>
      </c>
      <c r="K15" s="3">
        <v>0</v>
      </c>
      <c r="L15" s="3">
        <v>0</v>
      </c>
      <c r="M15" s="9">
        <f t="shared" si="0"/>
        <v>12</v>
      </c>
    </row>
    <row r="16" spans="1:18" ht="27.75" customHeight="1" x14ac:dyDescent="0.25">
      <c r="A16" s="3" t="s">
        <v>29</v>
      </c>
      <c r="B16" s="14" t="s">
        <v>39</v>
      </c>
      <c r="C16" s="3">
        <v>3</v>
      </c>
      <c r="D16" s="3">
        <v>2</v>
      </c>
      <c r="E16" s="3">
        <v>2</v>
      </c>
      <c r="F16" s="3">
        <v>1</v>
      </c>
      <c r="G16" s="3">
        <v>3</v>
      </c>
      <c r="H16" s="3">
        <v>3</v>
      </c>
      <c r="I16" s="9">
        <v>0</v>
      </c>
      <c r="J16" s="3">
        <v>1</v>
      </c>
      <c r="K16" s="3">
        <v>3</v>
      </c>
      <c r="L16" s="3">
        <v>3</v>
      </c>
      <c r="M16" s="9">
        <f t="shared" si="0"/>
        <v>21</v>
      </c>
    </row>
    <row r="17" spans="1:18" ht="27.75" customHeight="1" x14ac:dyDescent="0.25">
      <c r="A17" s="3" t="s">
        <v>30</v>
      </c>
      <c r="B17" s="14" t="s">
        <v>40</v>
      </c>
      <c r="C17" s="3">
        <v>3</v>
      </c>
      <c r="D17" s="3">
        <v>2</v>
      </c>
      <c r="E17" s="3">
        <v>2</v>
      </c>
      <c r="F17" s="3">
        <v>2</v>
      </c>
      <c r="G17" s="3">
        <v>2</v>
      </c>
      <c r="H17" s="3">
        <v>3</v>
      </c>
      <c r="I17" s="3">
        <v>2</v>
      </c>
      <c r="J17" s="9">
        <v>0</v>
      </c>
      <c r="K17" s="3">
        <v>1</v>
      </c>
      <c r="L17" s="3">
        <v>3</v>
      </c>
      <c r="M17" s="9">
        <f t="shared" si="0"/>
        <v>20</v>
      </c>
    </row>
    <row r="18" spans="1:18" ht="27.75" customHeight="1" x14ac:dyDescent="0.25">
      <c r="A18" s="3" t="s">
        <v>31</v>
      </c>
      <c r="B18" s="14" t="s">
        <v>41</v>
      </c>
      <c r="C18" s="3">
        <v>1</v>
      </c>
      <c r="D18" s="3">
        <v>0</v>
      </c>
      <c r="E18" s="3">
        <v>3</v>
      </c>
      <c r="F18" s="3">
        <v>0</v>
      </c>
      <c r="G18" s="3">
        <v>0</v>
      </c>
      <c r="H18" s="3">
        <v>0</v>
      </c>
      <c r="I18" s="3">
        <v>1</v>
      </c>
      <c r="J18" s="3">
        <v>1</v>
      </c>
      <c r="K18" s="9">
        <v>0</v>
      </c>
      <c r="L18" s="3">
        <v>0</v>
      </c>
      <c r="M18" s="9">
        <f t="shared" si="0"/>
        <v>6</v>
      </c>
    </row>
    <row r="19" spans="1:18" ht="27.75" customHeight="1" x14ac:dyDescent="0.25">
      <c r="A19" s="3" t="s">
        <v>32</v>
      </c>
      <c r="B19" s="14" t="s">
        <v>42</v>
      </c>
      <c r="C19" s="3">
        <v>2</v>
      </c>
      <c r="D19" s="3">
        <v>2</v>
      </c>
      <c r="E19" s="3">
        <v>2</v>
      </c>
      <c r="F19" s="3">
        <v>1</v>
      </c>
      <c r="G19" s="3">
        <v>2</v>
      </c>
      <c r="H19" s="3">
        <v>3</v>
      </c>
      <c r="I19" s="3">
        <v>1</v>
      </c>
      <c r="J19" s="3">
        <v>1</v>
      </c>
      <c r="K19" s="3">
        <v>0</v>
      </c>
      <c r="L19" s="9">
        <v>0</v>
      </c>
      <c r="M19" s="9">
        <f t="shared" si="0"/>
        <v>14</v>
      </c>
    </row>
    <row r="20" spans="1:18" ht="27.75" customHeight="1" x14ac:dyDescent="0.25">
      <c r="A20" s="32" t="s">
        <v>21</v>
      </c>
      <c r="B20" s="33"/>
      <c r="C20" s="9">
        <f t="shared" ref="C20:L20" si="1">SUM(C10:C19)</f>
        <v>19</v>
      </c>
      <c r="D20" s="9">
        <f t="shared" si="1"/>
        <v>12</v>
      </c>
      <c r="E20" s="9">
        <f t="shared" si="1"/>
        <v>22</v>
      </c>
      <c r="F20" s="9">
        <f t="shared" si="1"/>
        <v>15</v>
      </c>
      <c r="G20" s="9">
        <f t="shared" si="1"/>
        <v>17</v>
      </c>
      <c r="H20" s="9">
        <f t="shared" si="1"/>
        <v>18</v>
      </c>
      <c r="I20" s="9">
        <f t="shared" si="1"/>
        <v>16</v>
      </c>
      <c r="J20" s="9">
        <f t="shared" si="1"/>
        <v>12</v>
      </c>
      <c r="K20" s="9">
        <f t="shared" si="1"/>
        <v>9</v>
      </c>
      <c r="L20" s="9">
        <f t="shared" si="1"/>
        <v>14</v>
      </c>
      <c r="M20" s="9"/>
    </row>
    <row r="21" spans="1:18" ht="27.75" customHeight="1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8" ht="27.75" customHeight="1" x14ac:dyDescent="0.25">
      <c r="A22" s="25" t="s">
        <v>10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27.75" customHeight="1" x14ac:dyDescent="0.25"/>
    <row r="24" spans="1:18" ht="27.75" customHeight="1" x14ac:dyDescent="0.25"/>
    <row r="27" spans="1:18" ht="20.25" customHeight="1" x14ac:dyDescent="0.25"/>
    <row r="47" spans="1:1" x14ac:dyDescent="0.25">
      <c r="A47" s="11"/>
    </row>
    <row r="49" spans="1:18" x14ac:dyDescent="0.25">
      <c r="A49" s="12" t="s">
        <v>18</v>
      </c>
    </row>
    <row r="50" spans="1:18" x14ac:dyDescent="0.25">
      <c r="A50" s="24" t="s">
        <v>19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</row>
    <row r="51" spans="1:18" x14ac:dyDescent="0.2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</row>
    <row r="52" spans="1:18" x14ac:dyDescent="0.25">
      <c r="A52" s="23"/>
      <c r="B52" s="23"/>
    </row>
    <row r="55" spans="1:18" ht="15" customHeight="1" x14ac:dyDescent="0.25"/>
  </sheetData>
  <mergeCells count="9">
    <mergeCell ref="A1:XFD1"/>
    <mergeCell ref="A2:R2"/>
    <mergeCell ref="A3:R3"/>
    <mergeCell ref="A52:B52"/>
    <mergeCell ref="A50:R51"/>
    <mergeCell ref="A5:R5"/>
    <mergeCell ref="A6:R7"/>
    <mergeCell ref="A22:R22"/>
    <mergeCell ref="A20:B20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showGridLines="0" workbookViewId="0">
      <selection activeCell="D2" sqref="D2"/>
    </sheetView>
  </sheetViews>
  <sheetFormatPr baseColWidth="10" defaultColWidth="9.140625" defaultRowHeight="15" x14ac:dyDescent="0.25"/>
  <sheetData>
    <row r="1" spans="1:6" ht="15" customHeight="1" x14ac:dyDescent="0.25">
      <c r="C1" s="7" t="s">
        <v>11</v>
      </c>
      <c r="D1" s="7" t="s">
        <v>12</v>
      </c>
      <c r="F1" s="8"/>
    </row>
    <row r="2" spans="1:6" ht="15" customHeight="1" x14ac:dyDescent="0.25">
      <c r="A2" s="34" t="s">
        <v>13</v>
      </c>
      <c r="B2" s="35"/>
      <c r="C2" s="10">
        <v>0</v>
      </c>
      <c r="D2" s="10">
        <f>MAX(Dependencia)/2</f>
        <v>11</v>
      </c>
      <c r="E2" s="8"/>
      <c r="F2" s="8"/>
    </row>
    <row r="3" spans="1:6" x14ac:dyDescent="0.25">
      <c r="A3" s="36"/>
      <c r="B3" s="37"/>
      <c r="C3" s="10">
        <f>MAX(Influencia)</f>
        <v>21</v>
      </c>
      <c r="D3" s="10">
        <f>MAX(Dependencia)/2</f>
        <v>11</v>
      </c>
    </row>
    <row r="4" spans="1:6" ht="15" customHeight="1" x14ac:dyDescent="0.25">
      <c r="A4" s="34" t="s">
        <v>14</v>
      </c>
      <c r="B4" s="35"/>
      <c r="C4" s="10">
        <f>MAX(Influencia)/2</f>
        <v>10.5</v>
      </c>
      <c r="D4" s="10">
        <v>0</v>
      </c>
    </row>
    <row r="5" spans="1:6" x14ac:dyDescent="0.25">
      <c r="A5" s="36"/>
      <c r="B5" s="37"/>
      <c r="C5" s="10">
        <f>MAX(Influencia)/2</f>
        <v>10.5</v>
      </c>
      <c r="D5" s="10">
        <f>MAX(Dependencia)</f>
        <v>22</v>
      </c>
    </row>
  </sheetData>
  <mergeCells count="2">
    <mergeCell ref="A4:B5"/>
    <mergeCell ref="A2:B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Matriz y gráfico</vt:lpstr>
      <vt:lpstr>Parámetros</vt:lpstr>
      <vt:lpstr>Dependencia</vt:lpstr>
      <vt:lpstr>Influencia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Felipe Saldarriaga Bejarano</dc:creator>
  <cp:keywords/>
  <dc:description/>
  <cp:lastModifiedBy>Estudiante</cp:lastModifiedBy>
  <cp:revision/>
  <dcterms:created xsi:type="dcterms:W3CDTF">2011-08-11T16:16:29Z</dcterms:created>
  <dcterms:modified xsi:type="dcterms:W3CDTF">2026-05-14T13:35:07Z</dcterms:modified>
  <cp:category/>
  <cp:contentStatus/>
</cp:coreProperties>
</file>